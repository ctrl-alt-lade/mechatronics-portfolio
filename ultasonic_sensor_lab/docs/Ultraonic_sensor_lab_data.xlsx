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cuments\"/>
    </mc:Choice>
  </mc:AlternateContent>
  <xr:revisionPtr revIDLastSave="0" documentId="8_{D70A41D8-336B-4E7C-BE03-868A2B0A02D1}" xr6:coauthVersionLast="47" xr6:coauthVersionMax="47" xr10:uidLastSave="{00000000-0000-0000-0000-000000000000}"/>
  <bookViews>
    <workbookView xWindow="-120" yWindow="-120" windowWidth="29040" windowHeight="15720" xr2:uid="{534ED8CF-59E3-40C2-9772-39ACF1A149E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8" i="1" l="1"/>
  <c r="O4" i="1"/>
  <c r="O5" i="1"/>
  <c r="O6" i="1"/>
  <c r="O7" i="1"/>
  <c r="O3" i="1"/>
  <c r="J28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3" i="1"/>
</calcChain>
</file>

<file path=xl/sharedStrings.xml><?xml version="1.0" encoding="utf-8"?>
<sst xmlns="http://schemas.openxmlformats.org/spreadsheetml/2006/main" count="24" uniqueCount="24">
  <si>
    <t>S/N</t>
  </si>
  <si>
    <t>Actual Distance</t>
  </si>
  <si>
    <t>Actual Distance(cm)</t>
  </si>
  <si>
    <t>Measured Distance(cm)</t>
  </si>
  <si>
    <t>d1</t>
  </si>
  <si>
    <t>d2</t>
  </si>
  <si>
    <t>d3</t>
  </si>
  <si>
    <t>Average of d</t>
  </si>
  <si>
    <t>Error</t>
  </si>
  <si>
    <t>e1</t>
  </si>
  <si>
    <t>e2</t>
  </si>
  <si>
    <t>e3</t>
  </si>
  <si>
    <t>Average Error</t>
  </si>
  <si>
    <t>Average Error:</t>
  </si>
  <si>
    <t>2.08cm</t>
  </si>
  <si>
    <t xml:space="preserve">Minimum Value Measurable: </t>
  </si>
  <si>
    <t>For Hysterisis</t>
  </si>
  <si>
    <t>D_average</t>
  </si>
  <si>
    <t>d4</t>
  </si>
  <si>
    <t>difference</t>
  </si>
  <si>
    <t>avg diff:</t>
  </si>
  <si>
    <t>Stability</t>
  </si>
  <si>
    <t>Measured distance</t>
  </si>
  <si>
    <t xml:space="preserve">time(seconds)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</si>
</sst>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20" fontId="0" fillId="0" borderId="0" xfId="0" applyNumberFormat="1"/>
    <xf numFmtId="46" fontId="0" fillId="0" borderId="0" xfId="0" applyNumberFormat="1"/>
    <xf numFmtId="2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693B60-427B-46F6-945E-DDECD4AE21E9}">
  <dimension ref="A1:O30"/>
  <sheetViews>
    <sheetView tabSelected="1" zoomScale="115" zoomScaleNormal="115" workbookViewId="0">
      <selection activeCell="O16" sqref="O16"/>
    </sheetView>
  </sheetViews>
  <sheetFormatPr defaultRowHeight="15" x14ac:dyDescent="0.25"/>
  <cols>
    <col min="2" max="2" width="25.85546875" customWidth="1"/>
    <col min="3" max="3" width="8.5703125" customWidth="1"/>
    <col min="6" max="6" width="15" customWidth="1"/>
    <col min="9" max="9" width="13.42578125" customWidth="1"/>
    <col min="12" max="12" width="14.42578125" customWidth="1"/>
    <col min="13" max="13" width="12.42578125" bestFit="1" customWidth="1"/>
  </cols>
  <sheetData>
    <row r="1" spans="1:15" x14ac:dyDescent="0.25">
      <c r="A1" t="s">
        <v>0</v>
      </c>
      <c r="B1" t="s">
        <v>2</v>
      </c>
      <c r="C1" s="1" t="s">
        <v>3</v>
      </c>
      <c r="D1" s="1"/>
      <c r="E1" s="1"/>
      <c r="G1" s="1" t="s">
        <v>8</v>
      </c>
      <c r="H1" s="1"/>
      <c r="I1" s="1"/>
      <c r="J1" t="s">
        <v>12</v>
      </c>
      <c r="M1" t="s">
        <v>16</v>
      </c>
    </row>
    <row r="2" spans="1:15" x14ac:dyDescent="0.25">
      <c r="C2" t="s">
        <v>4</v>
      </c>
      <c r="D2" t="s">
        <v>5</v>
      </c>
      <c r="E2" t="s">
        <v>6</v>
      </c>
      <c r="F2" t="s">
        <v>7</v>
      </c>
      <c r="G2" t="s">
        <v>9</v>
      </c>
      <c r="H2" t="s">
        <v>10</v>
      </c>
      <c r="I2" t="s">
        <v>11</v>
      </c>
      <c r="L2" t="s">
        <v>1</v>
      </c>
      <c r="M2" t="s">
        <v>17</v>
      </c>
      <c r="N2" t="s">
        <v>18</v>
      </c>
      <c r="O2" t="s">
        <v>19</v>
      </c>
    </row>
    <row r="3" spans="1:15" x14ac:dyDescent="0.25">
      <c r="A3">
        <v>1</v>
      </c>
      <c r="B3">
        <v>10</v>
      </c>
      <c r="C3">
        <v>11.55</v>
      </c>
      <c r="D3">
        <v>12.16</v>
      </c>
      <c r="E3">
        <v>12.12</v>
      </c>
      <c r="F3">
        <f>AVERAGE(C3:E3)</f>
        <v>11.943333333333333</v>
      </c>
      <c r="G3">
        <f>ABS(C3-B3)</f>
        <v>1.5500000000000007</v>
      </c>
      <c r="H3">
        <f>ABS(D3-B3)</f>
        <v>2.16</v>
      </c>
      <c r="I3">
        <f>ABS(E3-B3)</f>
        <v>2.1199999999999992</v>
      </c>
      <c r="J3">
        <f>AVERAGE(G3:I3)</f>
        <v>1.9433333333333334</v>
      </c>
      <c r="L3">
        <v>40</v>
      </c>
      <c r="M3">
        <v>40.08</v>
      </c>
      <c r="N3">
        <v>41.27</v>
      </c>
      <c r="O3">
        <f>ABS(N3-M3)</f>
        <v>1.1900000000000048</v>
      </c>
    </row>
    <row r="4" spans="1:15" x14ac:dyDescent="0.25">
      <c r="A4">
        <v>2</v>
      </c>
      <c r="B4">
        <v>20</v>
      </c>
      <c r="C4">
        <v>21.72</v>
      </c>
      <c r="D4">
        <v>21.71</v>
      </c>
      <c r="E4">
        <v>21.65</v>
      </c>
      <c r="F4">
        <f t="shared" ref="F4:F27" si="0">AVERAGE(C4:E4)</f>
        <v>21.693333333333332</v>
      </c>
      <c r="G4">
        <f t="shared" ref="G4:G27" si="1">ABS(C4-B4)</f>
        <v>1.7199999999999989</v>
      </c>
      <c r="H4">
        <f t="shared" ref="H4:H27" si="2">ABS(D4-B4)</f>
        <v>1.7100000000000009</v>
      </c>
      <c r="I4">
        <f t="shared" ref="I4:I27" si="3">ABS(E4-B4)</f>
        <v>1.6499999999999986</v>
      </c>
      <c r="J4">
        <f t="shared" ref="J4:J27" si="4">AVERAGE(G4:I4)</f>
        <v>1.6933333333333327</v>
      </c>
      <c r="L4">
        <v>80</v>
      </c>
      <c r="M4">
        <v>80.03</v>
      </c>
      <c r="N4">
        <v>80.819999999999993</v>
      </c>
      <c r="O4">
        <f t="shared" ref="O4:O7" si="5">ABS(N4-M4)</f>
        <v>0.78999999999999204</v>
      </c>
    </row>
    <row r="5" spans="1:15" x14ac:dyDescent="0.25">
      <c r="A5">
        <v>3</v>
      </c>
      <c r="B5">
        <v>30</v>
      </c>
      <c r="C5">
        <v>31.06</v>
      </c>
      <c r="D5">
        <v>31.08</v>
      </c>
      <c r="E5">
        <v>31.05</v>
      </c>
      <c r="F5">
        <f t="shared" si="0"/>
        <v>31.063333333333333</v>
      </c>
      <c r="G5">
        <f t="shared" si="1"/>
        <v>1.0599999999999987</v>
      </c>
      <c r="H5">
        <f t="shared" si="2"/>
        <v>1.0799999999999983</v>
      </c>
      <c r="I5">
        <f t="shared" si="3"/>
        <v>1.0500000000000007</v>
      </c>
      <c r="J5">
        <f t="shared" si="4"/>
        <v>1.0633333333333326</v>
      </c>
      <c r="L5">
        <v>120</v>
      </c>
      <c r="M5">
        <v>120.43</v>
      </c>
      <c r="N5">
        <v>120.21</v>
      </c>
      <c r="O5">
        <f t="shared" si="5"/>
        <v>0.22000000000001307</v>
      </c>
    </row>
    <row r="6" spans="1:15" x14ac:dyDescent="0.25">
      <c r="A6">
        <v>4</v>
      </c>
      <c r="B6">
        <v>40</v>
      </c>
      <c r="C6">
        <v>40.07</v>
      </c>
      <c r="D6">
        <v>40.08</v>
      </c>
      <c r="E6">
        <v>40.090000000000003</v>
      </c>
      <c r="F6">
        <f t="shared" si="0"/>
        <v>40.080000000000005</v>
      </c>
      <c r="G6">
        <f t="shared" si="1"/>
        <v>7.0000000000000284E-2</v>
      </c>
      <c r="H6">
        <f t="shared" si="2"/>
        <v>7.9999999999998295E-2</v>
      </c>
      <c r="I6">
        <f t="shared" si="3"/>
        <v>9.0000000000003411E-2</v>
      </c>
      <c r="J6">
        <f t="shared" si="4"/>
        <v>8.0000000000000668E-2</v>
      </c>
      <c r="L6">
        <v>160</v>
      </c>
      <c r="M6">
        <v>159.9</v>
      </c>
      <c r="N6">
        <v>159.57</v>
      </c>
      <c r="O6">
        <f t="shared" si="5"/>
        <v>0.33000000000001251</v>
      </c>
    </row>
    <row r="7" spans="1:15" x14ac:dyDescent="0.25">
      <c r="A7">
        <v>5</v>
      </c>
      <c r="B7">
        <v>50</v>
      </c>
      <c r="C7">
        <v>50.39</v>
      </c>
      <c r="D7">
        <v>50.25</v>
      </c>
      <c r="E7">
        <v>50.24</v>
      </c>
      <c r="F7">
        <f t="shared" si="0"/>
        <v>50.293333333333329</v>
      </c>
      <c r="G7">
        <f t="shared" si="1"/>
        <v>0.39000000000000057</v>
      </c>
      <c r="H7">
        <f t="shared" si="2"/>
        <v>0.25</v>
      </c>
      <c r="I7">
        <f t="shared" si="3"/>
        <v>0.24000000000000199</v>
      </c>
      <c r="J7">
        <f t="shared" si="4"/>
        <v>0.29333333333333417</v>
      </c>
      <c r="L7">
        <v>200</v>
      </c>
      <c r="M7">
        <v>198.28</v>
      </c>
      <c r="N7">
        <v>198.31700000000001</v>
      </c>
      <c r="O7">
        <f t="shared" si="5"/>
        <v>3.7000000000006139E-2</v>
      </c>
    </row>
    <row r="8" spans="1:15" x14ac:dyDescent="0.25">
      <c r="A8">
        <v>6</v>
      </c>
      <c r="B8">
        <v>60</v>
      </c>
      <c r="C8">
        <v>59.56</v>
      </c>
      <c r="D8">
        <v>59.64</v>
      </c>
      <c r="E8">
        <v>59.61</v>
      </c>
      <c r="F8">
        <f t="shared" si="0"/>
        <v>59.603333333333332</v>
      </c>
      <c r="G8">
        <f t="shared" si="1"/>
        <v>0.43999999999999773</v>
      </c>
      <c r="H8">
        <f t="shared" si="2"/>
        <v>0.35999999999999943</v>
      </c>
      <c r="I8">
        <f t="shared" si="3"/>
        <v>0.39000000000000057</v>
      </c>
      <c r="J8">
        <f t="shared" si="4"/>
        <v>0.39666666666666589</v>
      </c>
      <c r="N8" t="s">
        <v>20</v>
      </c>
      <c r="O8">
        <f>AVERAGE(O3:O7)</f>
        <v>0.51340000000000574</v>
      </c>
    </row>
    <row r="9" spans="1:15" x14ac:dyDescent="0.25">
      <c r="A9">
        <v>7</v>
      </c>
      <c r="B9">
        <v>70</v>
      </c>
      <c r="C9">
        <v>69.45</v>
      </c>
      <c r="D9">
        <v>69.459999999999994</v>
      </c>
      <c r="E9">
        <v>69.47</v>
      </c>
      <c r="F9">
        <f t="shared" si="0"/>
        <v>69.459999999999994</v>
      </c>
      <c r="G9">
        <f t="shared" si="1"/>
        <v>0.54999999999999716</v>
      </c>
      <c r="H9">
        <f t="shared" si="2"/>
        <v>0.54000000000000625</v>
      </c>
      <c r="I9">
        <f t="shared" si="3"/>
        <v>0.53000000000000114</v>
      </c>
      <c r="J9">
        <f t="shared" si="4"/>
        <v>0.54000000000000148</v>
      </c>
    </row>
    <row r="10" spans="1:15" x14ac:dyDescent="0.25">
      <c r="A10">
        <v>8</v>
      </c>
      <c r="B10">
        <v>80</v>
      </c>
      <c r="C10">
        <v>80.010000000000005</v>
      </c>
      <c r="D10">
        <v>80.05</v>
      </c>
      <c r="E10">
        <v>80.03</v>
      </c>
      <c r="F10">
        <f t="shared" si="0"/>
        <v>80.03</v>
      </c>
      <c r="G10">
        <f t="shared" si="1"/>
        <v>1.0000000000005116E-2</v>
      </c>
      <c r="H10">
        <f t="shared" si="2"/>
        <v>4.9999999999997158E-2</v>
      </c>
      <c r="I10">
        <f t="shared" si="3"/>
        <v>3.0000000000001137E-2</v>
      </c>
      <c r="J10">
        <f t="shared" si="4"/>
        <v>3.0000000000001137E-2</v>
      </c>
    </row>
    <row r="11" spans="1:15" x14ac:dyDescent="0.25">
      <c r="A11">
        <v>9</v>
      </c>
      <c r="B11">
        <v>90</v>
      </c>
      <c r="C11">
        <v>90.66</v>
      </c>
      <c r="D11">
        <v>90.71</v>
      </c>
      <c r="E11">
        <v>90.74</v>
      </c>
      <c r="F11">
        <f t="shared" si="0"/>
        <v>90.703333333333333</v>
      </c>
      <c r="G11">
        <f t="shared" si="1"/>
        <v>0.65999999999999659</v>
      </c>
      <c r="H11">
        <f t="shared" si="2"/>
        <v>0.70999999999999375</v>
      </c>
      <c r="I11">
        <f t="shared" si="3"/>
        <v>0.73999999999999488</v>
      </c>
      <c r="J11">
        <f t="shared" si="4"/>
        <v>0.70333333333332837</v>
      </c>
    </row>
    <row r="12" spans="1:15" x14ac:dyDescent="0.25">
      <c r="A12">
        <v>10</v>
      </c>
      <c r="B12">
        <v>100</v>
      </c>
      <c r="C12">
        <v>100.23</v>
      </c>
      <c r="D12">
        <v>100.2</v>
      </c>
      <c r="E12">
        <v>100.31</v>
      </c>
      <c r="F12">
        <f t="shared" si="0"/>
        <v>100.24666666666667</v>
      </c>
      <c r="G12">
        <f t="shared" si="1"/>
        <v>0.23000000000000398</v>
      </c>
      <c r="H12">
        <f t="shared" si="2"/>
        <v>0.20000000000000284</v>
      </c>
      <c r="I12">
        <f t="shared" si="3"/>
        <v>0.31000000000000227</v>
      </c>
      <c r="J12">
        <f t="shared" si="4"/>
        <v>0.2466666666666697</v>
      </c>
      <c r="N12" s="1" t="s">
        <v>21</v>
      </c>
      <c r="O12" s="1"/>
    </row>
    <row r="13" spans="1:15" x14ac:dyDescent="0.25">
      <c r="A13">
        <v>11</v>
      </c>
      <c r="B13">
        <v>110</v>
      </c>
      <c r="C13">
        <v>109.9</v>
      </c>
      <c r="D13">
        <v>109.91</v>
      </c>
      <c r="E13">
        <v>109.92</v>
      </c>
      <c r="F13">
        <f t="shared" si="0"/>
        <v>109.91000000000001</v>
      </c>
      <c r="G13">
        <f t="shared" si="1"/>
        <v>9.9999999999994316E-2</v>
      </c>
      <c r="H13">
        <f t="shared" si="2"/>
        <v>9.0000000000003411E-2</v>
      </c>
      <c r="I13">
        <f t="shared" si="3"/>
        <v>7.9999999999998295E-2</v>
      </c>
      <c r="J13">
        <f t="shared" si="4"/>
        <v>8.9999999999998678E-2</v>
      </c>
      <c r="M13" s="2"/>
      <c r="N13" t="s">
        <v>22</v>
      </c>
      <c r="O13" t="s">
        <v>23</v>
      </c>
    </row>
    <row r="14" spans="1:15" x14ac:dyDescent="0.25">
      <c r="A14">
        <v>12</v>
      </c>
      <c r="B14">
        <v>120</v>
      </c>
      <c r="C14">
        <v>120.6</v>
      </c>
      <c r="D14">
        <v>120.43</v>
      </c>
      <c r="E14">
        <v>120.51</v>
      </c>
      <c r="F14">
        <f t="shared" si="0"/>
        <v>120.51333333333334</v>
      </c>
      <c r="G14">
        <f t="shared" si="1"/>
        <v>0.59999999999999432</v>
      </c>
      <c r="H14">
        <f t="shared" si="2"/>
        <v>0.43000000000000682</v>
      </c>
      <c r="I14">
        <f t="shared" si="3"/>
        <v>0.51000000000000512</v>
      </c>
      <c r="J14">
        <f t="shared" si="4"/>
        <v>0.51333333333333542</v>
      </c>
      <c r="M14" s="2"/>
      <c r="N14">
        <v>119.79</v>
      </c>
      <c r="O14">
        <v>0</v>
      </c>
    </row>
    <row r="15" spans="1:15" x14ac:dyDescent="0.25">
      <c r="A15">
        <v>13</v>
      </c>
      <c r="B15">
        <v>130</v>
      </c>
      <c r="C15">
        <v>130.79</v>
      </c>
      <c r="D15">
        <v>130.82</v>
      </c>
      <c r="E15">
        <v>130.88999999999999</v>
      </c>
      <c r="F15">
        <f t="shared" si="0"/>
        <v>130.83333333333334</v>
      </c>
      <c r="G15">
        <f t="shared" si="1"/>
        <v>0.78999999999999204</v>
      </c>
      <c r="H15">
        <f t="shared" si="2"/>
        <v>0.81999999999999318</v>
      </c>
      <c r="I15">
        <f t="shared" si="3"/>
        <v>0.88999999999998636</v>
      </c>
      <c r="J15">
        <f t="shared" si="4"/>
        <v>0.83333333333332382</v>
      </c>
      <c r="M15" s="3"/>
      <c r="N15">
        <v>119.85</v>
      </c>
      <c r="O15">
        <v>12</v>
      </c>
    </row>
    <row r="16" spans="1:15" x14ac:dyDescent="0.25">
      <c r="A16">
        <v>14</v>
      </c>
      <c r="B16">
        <v>140</v>
      </c>
      <c r="C16">
        <v>139.56</v>
      </c>
      <c r="D16">
        <v>139.54</v>
      </c>
      <c r="E16">
        <v>139.66</v>
      </c>
      <c r="F16">
        <f t="shared" si="0"/>
        <v>139.58666666666667</v>
      </c>
      <c r="G16">
        <f t="shared" si="1"/>
        <v>0.43999999999999773</v>
      </c>
      <c r="H16">
        <f t="shared" si="2"/>
        <v>0.46000000000000796</v>
      </c>
      <c r="I16">
        <f t="shared" si="3"/>
        <v>0.34000000000000341</v>
      </c>
      <c r="J16">
        <f t="shared" si="4"/>
        <v>0.41333333333333638</v>
      </c>
      <c r="M16" s="3"/>
      <c r="N16">
        <v>119.86</v>
      </c>
      <c r="O16">
        <v>24</v>
      </c>
    </row>
    <row r="17" spans="1:15" x14ac:dyDescent="0.25">
      <c r="A17">
        <v>15</v>
      </c>
      <c r="B17">
        <v>150</v>
      </c>
      <c r="C17">
        <v>149.66999999999999</v>
      </c>
      <c r="D17">
        <v>149.61000000000001</v>
      </c>
      <c r="E17">
        <v>149.61000000000001</v>
      </c>
      <c r="F17">
        <f t="shared" si="0"/>
        <v>149.63</v>
      </c>
      <c r="G17">
        <f t="shared" si="1"/>
        <v>0.33000000000001251</v>
      </c>
      <c r="H17">
        <f t="shared" si="2"/>
        <v>0.38999999999998636</v>
      </c>
      <c r="I17">
        <f t="shared" si="3"/>
        <v>0.38999999999998636</v>
      </c>
      <c r="J17">
        <f t="shared" si="4"/>
        <v>0.36999999999999506</v>
      </c>
      <c r="M17" s="3"/>
      <c r="N17">
        <v>119.85</v>
      </c>
      <c r="O17">
        <v>36</v>
      </c>
    </row>
    <row r="18" spans="1:15" x14ac:dyDescent="0.25">
      <c r="A18">
        <v>16</v>
      </c>
      <c r="B18">
        <v>160</v>
      </c>
      <c r="C18">
        <v>159.93</v>
      </c>
      <c r="D18">
        <v>159.91</v>
      </c>
      <c r="E18">
        <v>159.9</v>
      </c>
      <c r="F18">
        <f t="shared" si="0"/>
        <v>159.91333333333333</v>
      </c>
      <c r="G18">
        <f t="shared" si="1"/>
        <v>6.9999999999993179E-2</v>
      </c>
      <c r="H18">
        <f t="shared" si="2"/>
        <v>9.0000000000003411E-2</v>
      </c>
      <c r="I18">
        <f t="shared" si="3"/>
        <v>9.9999999999994316E-2</v>
      </c>
      <c r="J18">
        <f t="shared" si="4"/>
        <v>8.666666666666363E-2</v>
      </c>
      <c r="M18" s="4"/>
      <c r="N18">
        <v>119.68</v>
      </c>
      <c r="O18">
        <v>48</v>
      </c>
    </row>
    <row r="19" spans="1:15" x14ac:dyDescent="0.25">
      <c r="A19">
        <v>17</v>
      </c>
      <c r="B19">
        <v>170</v>
      </c>
      <c r="C19">
        <v>170.13</v>
      </c>
      <c r="D19">
        <v>170.19</v>
      </c>
      <c r="E19">
        <v>170.2</v>
      </c>
      <c r="F19">
        <f t="shared" si="0"/>
        <v>170.17333333333332</v>
      </c>
      <c r="G19">
        <f t="shared" si="1"/>
        <v>0.12999999999999545</v>
      </c>
      <c r="H19">
        <f t="shared" si="2"/>
        <v>0.18999999999999773</v>
      </c>
      <c r="I19">
        <f t="shared" si="3"/>
        <v>0.19999999999998863</v>
      </c>
      <c r="J19">
        <f t="shared" si="4"/>
        <v>0.17333333333332726</v>
      </c>
      <c r="N19">
        <v>119.71</v>
      </c>
      <c r="O19">
        <v>60</v>
      </c>
    </row>
    <row r="20" spans="1:15" x14ac:dyDescent="0.25">
      <c r="A20">
        <v>18</v>
      </c>
      <c r="B20">
        <v>180</v>
      </c>
      <c r="C20">
        <v>180.4</v>
      </c>
      <c r="D20">
        <v>180.74</v>
      </c>
      <c r="E20">
        <v>180.77</v>
      </c>
      <c r="F20">
        <f t="shared" si="0"/>
        <v>180.63666666666666</v>
      </c>
      <c r="G20">
        <f t="shared" si="1"/>
        <v>0.40000000000000568</v>
      </c>
      <c r="H20">
        <f t="shared" si="2"/>
        <v>0.74000000000000909</v>
      </c>
      <c r="I20">
        <f t="shared" si="3"/>
        <v>0.77000000000001023</v>
      </c>
      <c r="J20">
        <f t="shared" si="4"/>
        <v>0.63666666666667504</v>
      </c>
      <c r="N20">
        <v>119.84</v>
      </c>
      <c r="O20">
        <v>72</v>
      </c>
    </row>
    <row r="21" spans="1:15" x14ac:dyDescent="0.25">
      <c r="A21">
        <v>19</v>
      </c>
      <c r="B21">
        <v>190</v>
      </c>
      <c r="C21">
        <v>190.78</v>
      </c>
      <c r="D21">
        <v>191.13</v>
      </c>
      <c r="E21">
        <v>191.12</v>
      </c>
      <c r="F21">
        <f t="shared" si="0"/>
        <v>191.01</v>
      </c>
      <c r="G21">
        <f t="shared" si="1"/>
        <v>0.78000000000000114</v>
      </c>
      <c r="H21">
        <f t="shared" si="2"/>
        <v>1.1299999999999955</v>
      </c>
      <c r="I21">
        <f t="shared" si="3"/>
        <v>1.1200000000000045</v>
      </c>
      <c r="J21">
        <f t="shared" si="4"/>
        <v>1.0100000000000005</v>
      </c>
      <c r="N21">
        <v>119.76</v>
      </c>
      <c r="O21">
        <v>84</v>
      </c>
    </row>
    <row r="22" spans="1:15" x14ac:dyDescent="0.25">
      <c r="A22">
        <v>20</v>
      </c>
      <c r="B22">
        <v>200</v>
      </c>
      <c r="C22">
        <v>198.28</v>
      </c>
      <c r="D22">
        <v>197.97</v>
      </c>
      <c r="E22">
        <v>198.01</v>
      </c>
      <c r="F22">
        <f t="shared" si="0"/>
        <v>198.08666666666667</v>
      </c>
      <c r="G22">
        <f t="shared" si="1"/>
        <v>1.7199999999999989</v>
      </c>
      <c r="H22">
        <f t="shared" si="2"/>
        <v>2.0300000000000011</v>
      </c>
      <c r="I22">
        <f t="shared" si="3"/>
        <v>1.9900000000000091</v>
      </c>
      <c r="J22">
        <f t="shared" si="4"/>
        <v>1.9133333333333364</v>
      </c>
      <c r="N22">
        <v>119.84</v>
      </c>
      <c r="O22">
        <v>96</v>
      </c>
    </row>
    <row r="23" spans="1:15" x14ac:dyDescent="0.25">
      <c r="A23">
        <v>21</v>
      </c>
      <c r="B23">
        <v>210</v>
      </c>
      <c r="C23">
        <v>207.95</v>
      </c>
      <c r="D23">
        <v>207.96</v>
      </c>
      <c r="E23">
        <v>207.98</v>
      </c>
      <c r="F23">
        <f t="shared" si="0"/>
        <v>207.96333333333334</v>
      </c>
      <c r="G23">
        <f t="shared" si="1"/>
        <v>2.0500000000000114</v>
      </c>
      <c r="H23">
        <f t="shared" si="2"/>
        <v>2.039999999999992</v>
      </c>
      <c r="I23">
        <f t="shared" si="3"/>
        <v>2.0200000000000102</v>
      </c>
      <c r="J23">
        <f t="shared" si="4"/>
        <v>2.0366666666666711</v>
      </c>
      <c r="N23">
        <v>119.65</v>
      </c>
      <c r="O23">
        <v>108</v>
      </c>
    </row>
    <row r="24" spans="1:15" x14ac:dyDescent="0.25">
      <c r="A24">
        <v>22</v>
      </c>
      <c r="B24">
        <v>220</v>
      </c>
      <c r="C24">
        <v>220.12</v>
      </c>
      <c r="D24">
        <v>220.28</v>
      </c>
      <c r="E24">
        <v>220.29</v>
      </c>
      <c r="F24">
        <f t="shared" si="0"/>
        <v>220.23</v>
      </c>
      <c r="G24">
        <f t="shared" si="1"/>
        <v>0.12000000000000455</v>
      </c>
      <c r="H24">
        <f t="shared" si="2"/>
        <v>0.28000000000000114</v>
      </c>
      <c r="I24">
        <f t="shared" si="3"/>
        <v>0.28999999999999204</v>
      </c>
      <c r="J24">
        <f t="shared" si="4"/>
        <v>0.22999999999999923</v>
      </c>
      <c r="N24">
        <v>119.63</v>
      </c>
      <c r="O24">
        <v>120</v>
      </c>
    </row>
    <row r="25" spans="1:15" x14ac:dyDescent="0.25">
      <c r="A25">
        <v>23</v>
      </c>
      <c r="B25">
        <v>230</v>
      </c>
      <c r="C25">
        <v>230.5</v>
      </c>
      <c r="D25">
        <v>230.54</v>
      </c>
      <c r="E25">
        <v>230.57</v>
      </c>
      <c r="F25">
        <f t="shared" si="0"/>
        <v>230.53666666666663</v>
      </c>
      <c r="G25">
        <f t="shared" si="1"/>
        <v>0.5</v>
      </c>
      <c r="H25">
        <f t="shared" si="2"/>
        <v>0.53999999999999204</v>
      </c>
      <c r="I25">
        <f t="shared" si="3"/>
        <v>0.56999999999999318</v>
      </c>
      <c r="J25">
        <f t="shared" si="4"/>
        <v>0.53666666666666174</v>
      </c>
    </row>
    <row r="26" spans="1:15" x14ac:dyDescent="0.25">
      <c r="A26">
        <v>24</v>
      </c>
      <c r="B26">
        <v>240</v>
      </c>
      <c r="C26">
        <v>237.66</v>
      </c>
      <c r="D26">
        <v>237.59</v>
      </c>
      <c r="E26">
        <v>237.52</v>
      </c>
      <c r="F26">
        <f t="shared" si="0"/>
        <v>237.59</v>
      </c>
      <c r="G26">
        <f t="shared" si="1"/>
        <v>2.3400000000000034</v>
      </c>
      <c r="H26">
        <f t="shared" si="2"/>
        <v>2.4099999999999966</v>
      </c>
      <c r="I26">
        <f t="shared" si="3"/>
        <v>2.4799999999999898</v>
      </c>
      <c r="J26">
        <f t="shared" si="4"/>
        <v>2.4099999999999966</v>
      </c>
    </row>
    <row r="27" spans="1:15" x14ac:dyDescent="0.25">
      <c r="A27">
        <v>25</v>
      </c>
      <c r="B27">
        <v>250</v>
      </c>
      <c r="C27">
        <v>247.26</v>
      </c>
      <c r="D27">
        <v>247.27</v>
      </c>
      <c r="E27">
        <v>247.28</v>
      </c>
      <c r="F27">
        <f t="shared" si="0"/>
        <v>247.26999999999998</v>
      </c>
      <c r="G27">
        <f t="shared" si="1"/>
        <v>2.7400000000000091</v>
      </c>
      <c r="H27">
        <f t="shared" si="2"/>
        <v>2.7299999999999898</v>
      </c>
      <c r="I27">
        <f t="shared" si="3"/>
        <v>2.7199999999999989</v>
      </c>
      <c r="J27">
        <f t="shared" si="4"/>
        <v>2.7299999999999991</v>
      </c>
    </row>
    <row r="28" spans="1:15" x14ac:dyDescent="0.25">
      <c r="I28" t="s">
        <v>13</v>
      </c>
      <c r="J28">
        <f>AVERAGE(J3:J27)</f>
        <v>0.83893333333333275</v>
      </c>
    </row>
    <row r="30" spans="1:15" x14ac:dyDescent="0.25">
      <c r="B30" t="s">
        <v>15</v>
      </c>
      <c r="C30" t="s">
        <v>14</v>
      </c>
    </row>
  </sheetData>
  <mergeCells count="3">
    <mergeCell ref="C1:E1"/>
    <mergeCell ref="G1:I1"/>
    <mergeCell ref="N12:O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Demilade Faminu</dc:creator>
  <cp:lastModifiedBy>Demilade Faminu</cp:lastModifiedBy>
  <dcterms:created xsi:type="dcterms:W3CDTF">2026-05-19T22:17:35Z</dcterms:created>
  <dcterms:modified xsi:type="dcterms:W3CDTF">2026-05-20T00:07:44Z</dcterms:modified>
</cp:coreProperties>
</file>